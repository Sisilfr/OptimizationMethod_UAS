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M6" i="1" l="1"/>
  <c r="L6" i="1"/>
  <c r="N6" i="1" s="1"/>
  <c r="M5" i="1"/>
  <c r="L5" i="1"/>
  <c r="N5" i="1" s="1"/>
  <c r="M4" i="1"/>
  <c r="L4" i="1"/>
  <c r="M3" i="1"/>
  <c r="L3" i="1"/>
  <c r="N3" i="1" s="1"/>
  <c r="M2" i="1"/>
  <c r="L2" i="1"/>
  <c r="N4" i="1" l="1"/>
  <c r="O2" i="1"/>
  <c r="O4" i="1"/>
  <c r="N2" i="1"/>
  <c r="O3" i="1"/>
  <c r="P3" i="1" s="1"/>
  <c r="O5" i="1"/>
  <c r="P5" i="1" s="1"/>
  <c r="R3" i="1"/>
  <c r="T3" i="1" s="1"/>
  <c r="R5" i="1"/>
  <c r="T5" i="1" s="1"/>
  <c r="R6" i="1"/>
  <c r="T6" i="1" s="1"/>
  <c r="O6" i="1"/>
  <c r="S6" i="1" s="1"/>
  <c r="P6" i="1" l="1"/>
  <c r="S5" i="1"/>
  <c r="X5" i="1" s="1"/>
  <c r="Z5" i="1" s="1"/>
  <c r="X6" i="1"/>
  <c r="Z6" i="1" s="1"/>
  <c r="P4" i="1"/>
  <c r="S4" i="1"/>
  <c r="U4" i="1" s="1"/>
  <c r="U6" i="1"/>
  <c r="R4" i="1"/>
  <c r="T4" i="1" s="1"/>
  <c r="P2" i="1"/>
  <c r="S2" i="1"/>
  <c r="U5" i="1"/>
  <c r="R2" i="1"/>
  <c r="S3" i="1"/>
  <c r="X3" i="1" s="1"/>
  <c r="Z3" i="1" s="1"/>
  <c r="U3" i="1" l="1"/>
  <c r="V3" i="1" s="1"/>
  <c r="V4" i="1"/>
  <c r="X4" i="1"/>
  <c r="Z4" i="1" s="1"/>
  <c r="U2" i="1"/>
  <c r="Y5" i="1"/>
  <c r="AA5" i="1" s="1"/>
  <c r="V6" i="1"/>
  <c r="Y4" i="1"/>
  <c r="AA4" i="1" s="1"/>
  <c r="V5" i="1"/>
  <c r="Y3" i="1"/>
  <c r="AA3" i="1" s="1"/>
  <c r="T2" i="1"/>
  <c r="Y6" i="1"/>
  <c r="AA6" i="1" s="1"/>
  <c r="AD5" i="1" l="1"/>
  <c r="AB5" i="1"/>
  <c r="AD3" i="1"/>
  <c r="AB3" i="1"/>
  <c r="AD6" i="1"/>
  <c r="AB6" i="1"/>
  <c r="AD4" i="1"/>
  <c r="AB4" i="1"/>
  <c r="V2" i="1"/>
  <c r="X2" i="1"/>
  <c r="Z2" i="1" s="1"/>
  <c r="Y2" i="1"/>
  <c r="AA2" i="1" s="1"/>
  <c r="AD2" i="1" l="1"/>
  <c r="AB2" i="1"/>
</calcChain>
</file>

<file path=xl/sharedStrings.xml><?xml version="1.0" encoding="utf-8"?>
<sst xmlns="http://schemas.openxmlformats.org/spreadsheetml/2006/main" count="34" uniqueCount="33">
  <si>
    <t>Partikel</t>
  </si>
  <si>
    <t>Posisi X</t>
  </si>
  <si>
    <t>Posisi Y</t>
  </si>
  <si>
    <t>Kecepatan X</t>
  </si>
  <si>
    <t>Kecepatan Y</t>
  </si>
  <si>
    <t>P_best X</t>
  </si>
  <si>
    <t>P_best Y</t>
  </si>
  <si>
    <t>P_best Value</t>
  </si>
  <si>
    <t>G_best X</t>
  </si>
  <si>
    <t>G_best Y</t>
  </si>
  <si>
    <t>G_best Value</t>
  </si>
  <si>
    <t>Jarak ke Target</t>
  </si>
  <si>
    <t>Kecepatan X Iterasi 1</t>
  </si>
  <si>
    <t>Kecepatan Y Iterasi 1</t>
  </si>
  <si>
    <t>Posisi X Iterasi 1</t>
  </si>
  <si>
    <t>Posisi Y Iterasi 1</t>
  </si>
  <si>
    <t>Jarak ke Target Iterasi 1</t>
  </si>
  <si>
    <t>Kecepatan X Iterasi 2</t>
  </si>
  <si>
    <t>Kecepatan Y Iterasi 2</t>
  </si>
  <si>
    <t>Posisi X Iterasi 2</t>
  </si>
  <si>
    <t>Posisi Y Iterasi 2</t>
  </si>
  <si>
    <t>Jarak ke Target Iterasi 2</t>
  </si>
  <si>
    <t>Kecepatan X Iterasi 3</t>
  </si>
  <si>
    <t>Kecepatan Y Iterasi 3</t>
  </si>
  <si>
    <t>Posisi X Iterasi 3</t>
  </si>
  <si>
    <t>Posisi Y Iterasi 3</t>
  </si>
  <si>
    <t>Jarak ke Target Iterasi 3</t>
  </si>
  <si>
    <t>Unnamed: 27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</si>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</sst>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topLeftCell="Z1" workbookViewId="0">
      <selection activeCell="AH8" sqref="A1:XFD1048576"/>
    </sheetView>
  </sheetViews>
  <sheetFormatPr defaultColWidth="18.77734375"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D1" t="s">
        <v>11</v>
      </c>
    </row>
    <row r="2" spans="1:30" x14ac:dyDescent="0.3">
      <c r="A2" t="s">
        <v>28</v>
      </c>
      <c r="B2">
        <v>3</v>
      </c>
      <c r="C2">
        <v>7</v>
      </c>
      <c r="D2">
        <v>0.5</v>
      </c>
      <c r="E2">
        <v>0.3</v>
      </c>
      <c r="F2">
        <v>3</v>
      </c>
      <c r="G2">
        <v>7</v>
      </c>
      <c r="H2">
        <v>0</v>
      </c>
      <c r="I2">
        <v>10</v>
      </c>
      <c r="J2">
        <v>10</v>
      </c>
      <c r="K2">
        <v>0</v>
      </c>
      <c r="L2">
        <f t="shared" ref="L2:M6" ca="1" si="0">0.8 * D2 + 1.5 * RAND() * (F2 - B2) + 1.5 * RAND() * (I$2 - B2)</f>
        <v>5.6363074632331394</v>
      </c>
      <c r="M2">
        <f t="shared" ca="1" si="0"/>
        <v>4.6592773995679266</v>
      </c>
      <c r="N2">
        <f t="shared" ref="N2:O6" ca="1" si="1">B2 + L2</f>
        <v>8.6363074632331394</v>
      </c>
      <c r="O2">
        <f t="shared" ca="1" si="1"/>
        <v>11.659277399567927</v>
      </c>
      <c r="P2">
        <f ca="1">SQRT((N2-10)^2 + (O2-10)^2)</f>
        <v>2.147756695613015</v>
      </c>
      <c r="Q2">
        <v>8.086954921685459</v>
      </c>
      <c r="R2">
        <f t="shared" ref="R2:S6" ca="1" si="2">0.8 * L2 + 1.5 * RAND() * (M2 - N2) + 1.5 * RAND() * (I$2 - N2)</f>
        <v>4.9696406671981563</v>
      </c>
      <c r="S2">
        <f t="shared" ca="1" si="2"/>
        <v>0.82641765396599332</v>
      </c>
      <c r="T2">
        <f t="shared" ref="T2:U6" ca="1" si="3">N2 + R2</f>
        <v>13.605948130431296</v>
      </c>
      <c r="U2">
        <f t="shared" ca="1" si="3"/>
        <v>12.48569505353392</v>
      </c>
      <c r="V2">
        <f ca="1">SQRT((T2-10)^2 + (U2-10)^2)</f>
        <v>4.3796737114223419</v>
      </c>
      <c r="W2">
        <v>-8.5660751657240404</v>
      </c>
      <c r="X2">
        <f t="shared" ref="X2:Y6" ca="1" si="4">0.8 * R2 + 1.5 * RAND() * (S2 - T2) + 1.5 * RAND() * (I$2 - T2)</f>
        <v>-9.974860543431074</v>
      </c>
      <c r="Y2">
        <f t="shared" ca="1" si="4"/>
        <v>-0.89337067522952895</v>
      </c>
      <c r="Z2">
        <f t="shared" ref="Z2:AA6" ca="1" si="5">T2 + X2</f>
        <v>3.6310875870002217</v>
      </c>
      <c r="AA2">
        <f t="shared" ca="1" si="5"/>
        <v>11.592324378304392</v>
      </c>
      <c r="AB2">
        <f ca="1">SQRT((Z2-10)^2 + (AA2-10)^2)</f>
        <v>6.5649480005713015</v>
      </c>
      <c r="AD2">
        <f ca="1">SQRT((Z2-10)^2 + (AA2-10)^2)</f>
        <v>6.5649480005713015</v>
      </c>
    </row>
    <row r="3" spans="1:30" x14ac:dyDescent="0.3">
      <c r="A3" t="s">
        <v>29</v>
      </c>
      <c r="B3">
        <v>2</v>
      </c>
      <c r="C3">
        <v>5</v>
      </c>
      <c r="D3">
        <v>-0.4</v>
      </c>
      <c r="E3">
        <v>0.2</v>
      </c>
      <c r="F3">
        <v>2</v>
      </c>
      <c r="G3">
        <v>5</v>
      </c>
      <c r="H3">
        <v>0</v>
      </c>
      <c r="I3">
        <v>10</v>
      </c>
      <c r="J3">
        <v>10</v>
      </c>
      <c r="K3">
        <v>0</v>
      </c>
      <c r="L3">
        <f t="shared" ca="1" si="0"/>
        <v>5.7191818145447328</v>
      </c>
      <c r="M3">
        <f t="shared" ca="1" si="0"/>
        <v>1.2215606595450286</v>
      </c>
      <c r="N3">
        <f t="shared" ca="1" si="1"/>
        <v>7.7191818145447328</v>
      </c>
      <c r="O3">
        <f t="shared" ca="1" si="1"/>
        <v>6.2215606595450286</v>
      </c>
      <c r="P3">
        <f ca="1">SQRT((N3-10)^2 + (O3-10)^2)</f>
        <v>4.4134720396306193</v>
      </c>
      <c r="Q3">
        <v>6.8155091157416594</v>
      </c>
      <c r="R3">
        <f t="shared" ca="1" si="2"/>
        <v>-1.3363221673730565</v>
      </c>
      <c r="S3">
        <f t="shared" ca="1" si="2"/>
        <v>3.5745736859532151</v>
      </c>
      <c r="T3">
        <f t="shared" ca="1" si="3"/>
        <v>6.3828596471716761</v>
      </c>
      <c r="U3">
        <f t="shared" ca="1" si="3"/>
        <v>9.7961343454982437</v>
      </c>
      <c r="V3">
        <f ca="1">SQRT((T3-10)^2 + (U3-10)^2)</f>
        <v>3.6228808339696243</v>
      </c>
      <c r="W3">
        <v>-13.404659582243101</v>
      </c>
      <c r="X3">
        <f t="shared" ca="1" si="4"/>
        <v>-0.57312825400276601</v>
      </c>
      <c r="Y3">
        <f t="shared" ca="1" si="4"/>
        <v>0.47945646594077995</v>
      </c>
      <c r="Z3">
        <f t="shared" ca="1" si="5"/>
        <v>5.8097313931689101</v>
      </c>
      <c r="AA3">
        <f t="shared" ca="1" si="5"/>
        <v>10.275590811439024</v>
      </c>
      <c r="AB3">
        <f ca="1">SQRT((Z3-10)^2 + (AA3-10)^2)</f>
        <v>4.1993215276689382</v>
      </c>
      <c r="AD3">
        <f ca="1">SQRT((Z3-10)^2 + (AA3-10)^2)</f>
        <v>4.1993215276689382</v>
      </c>
    </row>
    <row r="4" spans="1:30" x14ac:dyDescent="0.3">
      <c r="A4" t="s">
        <v>30</v>
      </c>
      <c r="B4">
        <v>4</v>
      </c>
      <c r="C4">
        <v>9</v>
      </c>
      <c r="D4">
        <v>0.3</v>
      </c>
      <c r="E4">
        <v>-0.5</v>
      </c>
      <c r="F4">
        <v>4</v>
      </c>
      <c r="G4">
        <v>9</v>
      </c>
      <c r="H4">
        <v>0</v>
      </c>
      <c r="I4">
        <v>10</v>
      </c>
      <c r="J4">
        <v>10</v>
      </c>
      <c r="K4">
        <v>0</v>
      </c>
      <c r="L4">
        <f t="shared" ca="1" si="0"/>
        <v>9.0214173449577579</v>
      </c>
      <c r="M4">
        <f t="shared" ca="1" si="0"/>
        <v>0.55505573932672425</v>
      </c>
      <c r="N4">
        <f t="shared" ca="1" si="1"/>
        <v>13.021417344957758</v>
      </c>
      <c r="O4">
        <f t="shared" ca="1" si="1"/>
        <v>9.5550557393267237</v>
      </c>
      <c r="P4">
        <f ca="1">SQRT((N4-10)^2 + (O4-10)^2)</f>
        <v>3.0540036292574499</v>
      </c>
      <c r="Q4">
        <v>8.494487804019661</v>
      </c>
      <c r="R4">
        <f t="shared" ca="1" si="2"/>
        <v>-14.056460426644382</v>
      </c>
      <c r="S4">
        <f t="shared" ca="1" si="2"/>
        <v>2.3576156661475194</v>
      </c>
      <c r="T4">
        <f t="shared" ca="1" si="3"/>
        <v>-1.0350430816866236</v>
      </c>
      <c r="U4">
        <f t="shared" ca="1" si="3"/>
        <v>11.912671405474242</v>
      </c>
      <c r="V4">
        <f ca="1">SQRT((T4-10)^2 + (U4-10)^2)</f>
        <v>11.199575336591947</v>
      </c>
      <c r="W4">
        <v>-2.0261636912645131</v>
      </c>
      <c r="X4">
        <f t="shared" ca="1" si="4"/>
        <v>2.7425516737164717</v>
      </c>
      <c r="Y4">
        <f t="shared" ca="1" si="4"/>
        <v>-11.832691773963223</v>
      </c>
      <c r="Z4">
        <f t="shared" ca="1" si="5"/>
        <v>1.7075085920298481</v>
      </c>
      <c r="AA4">
        <f t="shared" ca="1" si="5"/>
        <v>7.9979631511019278E-2</v>
      </c>
      <c r="AB4">
        <f ca="1">SQRT((Z4-10)^2 + (AA4-10)^2)</f>
        <v>12.929509575482554</v>
      </c>
      <c r="AD4">
        <f ca="1">SQRT((Z4-10)^2 + (AA4-10)^2)</f>
        <v>12.929509575482554</v>
      </c>
    </row>
    <row r="5" spans="1:30" x14ac:dyDescent="0.3">
      <c r="A5" t="s">
        <v>31</v>
      </c>
      <c r="B5">
        <v>1</v>
      </c>
      <c r="C5">
        <v>3</v>
      </c>
      <c r="D5">
        <v>0.7</v>
      </c>
      <c r="E5">
        <v>0.4</v>
      </c>
      <c r="F5">
        <v>1</v>
      </c>
      <c r="G5">
        <v>3</v>
      </c>
      <c r="H5">
        <v>0</v>
      </c>
      <c r="I5">
        <v>10</v>
      </c>
      <c r="J5">
        <v>10</v>
      </c>
      <c r="K5">
        <v>0</v>
      </c>
      <c r="L5">
        <f t="shared" ca="1" si="0"/>
        <v>6.7963291703140296</v>
      </c>
      <c r="M5">
        <f t="shared" ca="1" si="0"/>
        <v>8.0079664593459814</v>
      </c>
      <c r="N5">
        <f t="shared" ca="1" si="1"/>
        <v>7.7963291703140296</v>
      </c>
      <c r="O5">
        <f t="shared" ca="1" si="1"/>
        <v>11.007966459345981</v>
      </c>
      <c r="P5">
        <f ca="1">SQRT((N5-10)^2 + (O5-10)^2)</f>
        <v>2.4232543219347256</v>
      </c>
      <c r="Q5">
        <v>5.3770899374219843</v>
      </c>
      <c r="R5">
        <f t="shared" ca="1" si="2"/>
        <v>6.556882310426202</v>
      </c>
      <c r="S5">
        <f t="shared" ca="1" si="2"/>
        <v>5.0379931005911054</v>
      </c>
      <c r="T5">
        <f t="shared" ca="1" si="3"/>
        <v>14.353211480740232</v>
      </c>
      <c r="U5">
        <f t="shared" ca="1" si="3"/>
        <v>16.045959559937089</v>
      </c>
      <c r="V5">
        <f ca="1">SQRT((T5-10)^2 + (U5-10)^2)</f>
        <v>7.4501058513583036</v>
      </c>
      <c r="W5">
        <v>-8.8454448895527307</v>
      </c>
      <c r="X5">
        <f t="shared" ca="1" si="4"/>
        <v>-5.56594182552855</v>
      </c>
      <c r="Y5">
        <f t="shared" ca="1" si="4"/>
        <v>0.32667536650166018</v>
      </c>
      <c r="Z5">
        <f t="shared" ca="1" si="5"/>
        <v>8.7872696552116807</v>
      </c>
      <c r="AA5">
        <f t="shared" ca="1" si="5"/>
        <v>16.372634926438749</v>
      </c>
      <c r="AB5">
        <f ca="1">SQRT((Z5-10)^2 + (AA5-10)^2)</f>
        <v>6.4870016798855072</v>
      </c>
      <c r="AD5">
        <f ca="1">SQRT((Z5-10)^2 + (AA5-10)^2)</f>
        <v>6.4870016798855072</v>
      </c>
    </row>
    <row r="6" spans="1:30" x14ac:dyDescent="0.3">
      <c r="A6" t="s">
        <v>32</v>
      </c>
      <c r="B6">
        <v>6</v>
      </c>
      <c r="C6">
        <v>6</v>
      </c>
      <c r="D6">
        <v>-0.2</v>
      </c>
      <c r="E6">
        <v>-0.4</v>
      </c>
      <c r="F6">
        <v>6</v>
      </c>
      <c r="G6">
        <v>6</v>
      </c>
      <c r="H6">
        <v>0</v>
      </c>
      <c r="I6">
        <v>10</v>
      </c>
      <c r="J6">
        <v>10</v>
      </c>
      <c r="K6">
        <v>0</v>
      </c>
      <c r="L6">
        <f t="shared" ca="1" si="0"/>
        <v>5.1780518903179971</v>
      </c>
      <c r="M6">
        <f t="shared" ca="1" si="0"/>
        <v>2.1219327198826177</v>
      </c>
      <c r="N6">
        <f t="shared" ca="1" si="1"/>
        <v>11.178051890317997</v>
      </c>
      <c r="O6">
        <f t="shared" ca="1" si="1"/>
        <v>8.1219327198826186</v>
      </c>
      <c r="P6">
        <f ca="1">SQRT((N6-10)^2 + (O6-10)^2)</f>
        <v>2.2169670644665214</v>
      </c>
      <c r="Q6">
        <v>9.6186486619113865</v>
      </c>
      <c r="R6">
        <f t="shared" ca="1" si="2"/>
        <v>-5.4977620076195191</v>
      </c>
      <c r="S6">
        <f t="shared" ca="1" si="2"/>
        <v>4.351495529072718</v>
      </c>
      <c r="T6">
        <f t="shared" ca="1" si="3"/>
        <v>5.680289882698478</v>
      </c>
      <c r="U6">
        <f t="shared" ca="1" si="3"/>
        <v>12.473428248955337</v>
      </c>
      <c r="V6">
        <f ca="1">SQRT((T6-10)^2 + (U6-10)^2)</f>
        <v>4.9777246609517682</v>
      </c>
      <c r="W6">
        <v>-5.3283864813143733E-2</v>
      </c>
      <c r="X6">
        <f t="shared" ca="1" si="4"/>
        <v>-6.0638993653796582</v>
      </c>
      <c r="Y6">
        <f t="shared" ca="1" si="4"/>
        <v>-5.1007523921334688</v>
      </c>
      <c r="Z6">
        <f t="shared" ca="1" si="5"/>
        <v>-0.38360948268118022</v>
      </c>
      <c r="AA6">
        <f t="shared" ca="1" si="5"/>
        <v>7.3726758568218678</v>
      </c>
      <c r="AB6">
        <f ca="1">SQRT((Z6-10)^2 + (AA6-10)^2)</f>
        <v>10.710843946307557</v>
      </c>
      <c r="AD6">
        <f ca="1">SQRT((Z6-10)^2 + (AA6-10)^2)</f>
        <v>10.710843946307557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2026-01-01T10:09:53Z</dcterms:created>
  <dcterms:modified xsi:type="dcterms:W3CDTF">2026-01-01T10:22:18Z</dcterms:modified>
</cp:coreProperties>
</file>